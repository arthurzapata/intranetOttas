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be4ec20b344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7f36de772374462"/>
    <x:sheet xmlns:r="http://schemas.openxmlformats.org/officeDocument/2006/relationships" name="Migrados" sheetId="2" r:id="Ra2c94794e1624bfe"/>
    <x:sheet xmlns:r="http://schemas.openxmlformats.org/officeDocument/2006/relationships" name="Pendientes" sheetId="3" r:id="Rfb9e36295bd649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#,##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FFFFFF"/>
      <x:name val="Carlito"/>
    </x:font>
    <x:font>
      <x:b/>
      <x:sz val="11"/>
      <x:color rgb="FF7257C8"/>
      <x:name val="Carlito"/>
    </x:font>
    <x:font>
      <x:b/>
      <x:sz val="20"/>
      <x:color rgb="FF35464E"/>
      <x:name val="Carlito"/>
    </x:font>
    <x:font>
      <x:b/>
      <x:sz val="11"/>
      <x:color rgb="FFFFFFFF"/>
      <x:name val="Carlito"/>
    </x:font>
    <x:font>
      <x:i/>
      <x:sz val="11"/>
      <x:color rgb="FF715618"/>
      <x:name val="Carlito"/>
    </x:font>
    <x:font>
      <x:b/>
      <x:sz val="11"/>
      <x:color rgb="FF286B5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257C8"/>
      </x:patternFill>
    </x:fill>
    <x:fill>
      <x:patternFill patternType="solid">
        <x:fgColor rgb="FF35464E"/>
      </x:patternFill>
    </x:fill>
    <x:fill>
      <x:patternFill patternType="solid">
        <x:fgColor rgb="FFF4F1FC"/>
      </x:patternFill>
    </x:fill>
    <x:fill>
      <x:patternFill patternType="solid">
        <x:fgColor rgb="FFFFF1CC"/>
      </x:patternFill>
    </x:fill>
    <x:fill>
      <x:patternFill patternType="solid">
        <x:fgColor rgb="FFDFF3E9"/>
      </x:patternFill>
    </x:fill>
  </x:fills>
  <x:borders count="16">
    <x:border/>
    <x:border>
      <x:left style="thin">
        <x:color rgb="FFD8D2EA"/>
      </x:left>
      <x:top style="thin">
        <x:color rgb="FFD8D2EA"/>
      </x:top>
    </x:border>
    <x:border>
      <x:top style="thin">
        <x:color rgb="FFD8D2EA"/>
      </x:top>
    </x:border>
    <x:border>
      <x:right style="thin">
        <x:color rgb="FFD8D2EA"/>
      </x:right>
      <x:top style="thin">
        <x:color rgb="FFD8D2EA"/>
      </x:top>
    </x:border>
    <x:border>
      <x:left style="thin">
        <x:color rgb="FFD8D2EA"/>
      </x:left>
      <x:bottom style="thin">
        <x:color rgb="FFD8D2EA"/>
      </x:bottom>
    </x:border>
    <x:border>
      <x:bottom style="thin">
        <x:color rgb="FFD8D2EA"/>
      </x:bottom>
    </x:border>
    <x:border>
      <x:right style="thin">
        <x:color rgb="FFD8D2EA"/>
      </x:right>
      <x:bottom style="thin">
        <x:color rgb="FFD8D2EA"/>
      </x:bottom>
    </x:border>
    <x:border>
      <x:right style="thin">
        <x:color rgb="FFE5E8EA"/>
      </x:right>
      <x:bottom style="thin">
        <x:color rgb="FFE5E8EA"/>
      </x:bottom>
    </x:border>
    <x:border>
      <x:left style="thin">
        <x:color rgb="FFE5E8EA"/>
      </x:left>
      <x:right style="thin">
        <x:color rgb="FFE5E8EA"/>
      </x:right>
      <x:bottom style="thin">
        <x:color rgb="FFE5E8EA"/>
      </x:bottom>
    </x:border>
    <x:border>
      <x:left style="thin">
        <x:color rgb="FFE5E8EA"/>
      </x:left>
      <x:bottom style="thin">
        <x:color rgb="FFE5E8EA"/>
      </x:bottom>
    </x:border>
    <x:border>
      <x:right style="thin">
        <x:color rgb="FFE5E8EA"/>
      </x:right>
      <x:top style="thin">
        <x:color rgb="FFE5E8EA"/>
      </x:top>
      <x:bottom style="thin">
        <x:color rgb="FFE5E8EA"/>
      </x:bottom>
    </x:border>
    <x:border>
      <x:left style="thin">
        <x:color rgb="FFE5E8EA"/>
      </x:left>
      <x:right style="thin">
        <x:color rgb="FFE5E8EA"/>
      </x:right>
      <x:top style="thin">
        <x:color rgb="FFE5E8EA"/>
      </x:top>
      <x:bottom style="thin">
        <x:color rgb="FFE5E8EA"/>
      </x:bottom>
    </x:border>
    <x:border>
      <x:left style="thin">
        <x:color rgb="FFE5E8EA"/>
      </x:left>
      <x:top style="thin">
        <x:color rgb="FFE5E8EA"/>
      </x:top>
      <x:bottom style="thin">
        <x:color rgb="FFE5E8EA"/>
      </x:bottom>
    </x:border>
    <x:border>
      <x:right style="thin">
        <x:color rgb="FFE5E8EA"/>
      </x:right>
      <x:top style="thin">
        <x:color rgb="FFE5E8EA"/>
      </x:top>
    </x:border>
    <x:border>
      <x:left style="thin">
        <x:color rgb="FFE5E8EA"/>
      </x:left>
      <x:right style="thin">
        <x:color rgb="FFE5E8EA"/>
      </x:right>
      <x:top style="thin">
        <x:color rgb="FFE5E8EA"/>
      </x:top>
    </x:border>
    <x:border>
      <x:left style="thin">
        <x:color rgb="FFE5E8EA"/>
      </x:left>
      <x:top style="thin">
        <x:color rgb="FFE5E8EA"/>
      </x:top>
    </x:border>
  </x:borders>
  <x:cellStyleXfs count="1">
    <x:xf numFmtId="0" fontId="0" fillId="0" borderId="0"/>
  </x:cellStyleXfs>
  <x:cellXfs count="56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20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0" fontId="4" fillId="0" borderId="2" xfId="0" applyNumberFormat="1" applyFont="1" applyFill="1" applyBorder="1" applyAlignment="1">
      <x:alignment horizontal="center" wrapText="1"/>
    </x:xf>
    <x:xf numFmtId="200" fontId="4" fillId="0" borderId="2" xfId="0" applyNumberFormat="1" applyFont="1" applyFill="1" applyBorder="1" applyAlignment="1">
      <x:alignment horizontal="center" wrapText="1"/>
    </x:xf>
    <x:xf numFmtId="0" fontId="4" fillId="0" borderId="3" xfId="0" applyNumberFormat="1" applyFont="1" applyFill="1" applyBorder="1" applyAlignment="1">
      <x:alignment horizontal="center" wrapText="1"/>
    </x:xf>
    <x:xf numFmtId="0" fontId="4" fillId="0" borderId="4" xfId="0" applyNumberFormat="1" applyFont="1" applyFill="1" applyBorder="1" applyAlignment="1">
      <x:alignment horizontal="center" wrapText="1"/>
    </x:xf>
    <x:xf numFmtId="0" fontId="4" fillId="0" borderId="5" xfId="0" applyNumberFormat="1" applyFont="1" applyFill="1" applyBorder="1" applyAlignment="1">
      <x:alignment horizontal="center" wrapText="1"/>
    </x:xf>
    <x:xf numFmtId="0" fontId="4" fillId="0" borderId="6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201" fontId="0" fillId="0" borderId="14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A13F43"/>
      </x:font>
      <x:fill>
        <x:patternFill patternType="solid">
          <x:bgColor rgb="FFFCE7E7"/>
        </x:patternFill>
      </x:fill>
    </x:dxf>
    <x:dxf>
      <x:font>
        <x:color rgb="FF8A6412"/>
      </x:font>
      <x:fill>
        <x:patternFill patternType="solid">
          <x:bgColor rgb="FFFFF1CC"/>
        </x:patternFill>
      </x:fill>
    </x:dxf>
    <x:dxf>
      <x:font>
        <x:b/>
        <x:color rgb="FF286B50"/>
      </x:font>
      <x:fill>
        <x:patternFill patternType="solid">
          <x:bgColor rgb="FFDFF3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0fcdbb0714f60" /><Relationship Type="http://schemas.openxmlformats.org/officeDocument/2006/relationships/theme" Target="/xl/theme/theme1.xml" Id="R3bd213246aa64fb5" /><Relationship Type="http://schemas.openxmlformats.org/officeDocument/2006/relationships/sharedStrings" Target="/xl/sharedStrings.xml" Id="R6bac0705611c4d45" /><Relationship Type="http://schemas.openxmlformats.org/officeDocument/2006/relationships/worksheet" Target="/xl/worksheets/sheet1.xml" Id="R57f36de772374462" /><Relationship Type="http://schemas.openxmlformats.org/officeDocument/2006/relationships/worksheet" Target="/xl/worksheets/sheet2.xml" Id="Ra2c94794e1624bfe" /><Relationship Type="http://schemas.openxmlformats.org/officeDocument/2006/relationships/worksheet" Target="/xl/worksheets/sheet3.xml" Id="Rfb9e36295bd64914" /></Relationships>
</file>

<file path=xl/tables/table1.xml><?xml version="1.0" encoding="utf-8"?>
<x:table xmlns:x="http://schemas.openxmlformats.org/spreadsheetml/2006/main" id="1" name="MigradosTable" displayName="MigradosTable" ref="A4:H32" headerRowCount="1" totalsRowCount="0" totalsRowShown="0">
  <x:tableColumns count="8">
    <x:tableColumn id="1" name="Macro módulo"/>
    <x:tableColumn id="2" name="Sección"/>
    <x:tableColumn id="3" name="Opción / pantalla"/>
    <x:tableColumn id="4" name="Ruta Vue"/>
    <x:tableColumn id="5" name="Clave de página"/>
    <x:tableColumn id="6" name="Controlador Laravel de referencia"/>
    <x:tableColumn id="7" name="Estado"/>
    <x:tableColumn id="8" name="Observación backend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PendientesTable" displayName="PendientesTable" ref="A4:G29" headerRowCount="1" totalsRowCount="0" totalsRowShown="0">
  <x:tableColumns count="7">
    <x:tableColumn id="1" name="Macro módulo"/>
    <x:tableColumn id="2" name="Sección / bloque"/>
    <x:tableColumn id="3" name="Alcance funcional"/>
    <x:tableColumn id="4" name="Controlador Laravel de referencia"/>
    <x:tableColumn id="5" name="Prioridad sugerida"/>
    <x:tableColumn id="6" name="Siguiente paso"/>
    <x:tableColumn id="7" name="Estado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beba95a9174a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d4bdf7031b43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24" hidden="0" customWidth="1"/>
    <x:col min="5" max="5" width="12" hidden="0" customWidth="1"/>
    <x:col min="6" max="6" width="12" hidden="0" customWidth="1"/>
    <x:col min="7" max="7" width="18" hidden="0" customWidth="1"/>
    <x:col min="8" max="8" width="18" hidden="0" customWidth="1"/>
  </x:cols>
  <x:sheetData>
    <x:row r="1">
      <x:c r="A1" s="7" t="str">
        <x:v>Inventario de migración Laravel → Vue</x:v>
      </x:c>
      <x:c r="B1" s="7"/>
      <x:c r="C1" s="7"/>
      <x:c r="D1" s="7"/>
      <x:c r="E1" s="7"/>
      <x:c r="F1" s="7"/>
      <x:c r="G1" s="7"/>
      <x:c r="H1" s="7"/>
    </x:row>
    <x:row r="2">
      <x:c r="A2" s="7"/>
      <x:c r="B2" s="7"/>
      <x:c r="C2" s="7"/>
      <x:c r="D2" s="7"/>
      <x:c r="E2" s="7"/>
      <x:c r="F2" s="7"/>
      <x:c r="G2" s="7"/>
      <x:c r="H2" s="7"/>
    </x:row>
    <x:row r="3">
      <x:c r="A3" s="8" t="str">
        <x:v>Estado al 23 de agosto de 2026 · Fuente: modules.ts y controladores del proyecto Laravel</x:v>
      </x:c>
      <x:c r="B3" s="8"/>
      <x:c r="C3" s="8"/>
      <x:c r="D3" s="8"/>
      <x:c r="E3" s="8"/>
      <x:c r="F3" s="8"/>
      <x:c r="G3" s="8"/>
      <x:c r="H3" s="8"/>
    </x:row>
    <x:row r="4">
      <x:c r="A4" s="9"/>
      <x:c r="B4" s="9"/>
      <x:c r="C4" s="9"/>
      <x:c r="D4" s="9"/>
      <x:c r="E4" s="9"/>
      <x:c r="F4" s="9"/>
      <x:c r="G4" s="9"/>
      <x:c r="H4" s="9"/>
    </x:row>
    <x:row r="5">
      <x:c r="A5" s="13" t="str">
        <x:v>Opciones migradas</x:v>
      </x:c>
      <x:c r="B5" s="13"/>
      <x:c r="C5" s="13"/>
      <x:c r="D5" s="13" t="str">
        <x:v>Bloques pendientes</x:v>
      </x:c>
      <x:c r="E5" s="13"/>
      <x:c r="F5" s="13"/>
      <x:c r="G5" s="13" t="str">
        <x:v>Avance referencial</x:v>
      </x:c>
      <x:c r="H5" s="13"/>
    </x:row>
    <x:row r="6">
      <x:c r="A6" s="30" t="n">
        <x:f>COUNTA('Migrados'!$A$5:$A$100)</x:f>
        <x:v>28</x:v>
      </x:c>
      <x:c r="B6" s="31"/>
      <x:c r="C6" s="31"/>
      <x:c r="D6" s="31" t="n">
        <x:f>COUNTA('Pendientes'!$A$5:$A$100)</x:f>
        <x:v>25</x:v>
      </x:c>
      <x:c r="E6" s="31"/>
      <x:c r="F6" s="31"/>
      <x:c r="G6" s="32" t="n">
        <x:f>A6/(A6+D6)</x:f>
        <x:v>0.5283018867924528</x:v>
      </x:c>
      <x:c r="H6" s="33"/>
    </x:row>
    <x:row r="7">
      <x:c r="A7" s="34"/>
      <x:c r="B7" s="35"/>
      <x:c r="C7" s="35"/>
      <x:c r="D7" s="35"/>
      <x:c r="E7" s="35"/>
      <x:c r="F7" s="35"/>
      <x:c r="G7" s="35"/>
      <x:c r="H7" s="36"/>
    </x:row>
    <x:row r="8">
      <x:c r="A8" s="9"/>
      <x:c r="B8" s="9"/>
      <x:c r="C8" s="9"/>
      <x:c r="D8" s="9"/>
      <x:c r="E8" s="9"/>
      <x:c r="F8" s="9"/>
      <x:c r="G8" s="9"/>
      <x:c r="H8" s="9"/>
    </x:row>
    <x:row r="9">
      <x:c r="A9" s="9"/>
      <x:c r="B9" s="9"/>
      <x:c r="C9" s="9"/>
      <x:c r="D9" s="9"/>
      <x:c r="E9" s="9"/>
      <x:c r="F9" s="9"/>
      <x:c r="G9" s="9"/>
      <x:c r="H9" s="9"/>
    </x:row>
    <x:row r="10">
      <x:c r="A10" s="38" t="str">
        <x:v>Macro módulo</x:v>
      </x:c>
      <x:c r="B10" s="38" t="str">
        <x:v>Migrados</x:v>
      </x:c>
      <x:c r="C10" s="38" t="str">
        <x:v>Pendientes</x:v>
      </x:c>
      <x:c r="D10" s="38" t="str">
        <x:v>Observación</x:v>
      </x:c>
      <x:c r="E10" s="9"/>
      <x:c r="F10" s="9"/>
      <x:c r="G10" s="9"/>
      <x:c r="H10" s="9"/>
    </x:row>
    <x:row r="11">
      <x:c r="A11" s="39" t="str">
        <x:v>Trámite V2</x:v>
      </x:c>
      <x:c r="B11" s="48" t="n">
        <x:f>COUNTIF('Migrados'!$A$5:$A$100,A11)</x:f>
        <x:v>14</x:v>
      </x:c>
      <x:c r="C11" s="48" t="n">
        <x:f>COUNTIF('Pendientes'!$A$5:$A$100,A11)</x:f>
        <x:v>0</x:v>
      </x:c>
      <x:c r="D11" s="41" t="str">
        <x:f>IF(C11=0,"Migración cubierta","Requiere planificación")</x:f>
        <x:v>Migración cubierta</x:v>
      </x:c>
      <x:c r="E11" s="9"/>
      <x:c r="F11" s="9"/>
      <x:c r="G11" s="9"/>
      <x:c r="H11" s="9"/>
    </x:row>
    <x:row r="12">
      <x:c r="A12" s="42" t="str">
        <x:v>Institucional (AURA)</x:v>
      </x:c>
      <x:c r="B12" s="49" t="n">
        <x:f>COUNTIF('Migrados'!$A$5:$A$100,A12)</x:f>
        <x:v>7</x:v>
      </x:c>
      <x:c r="C12" s="49" t="n">
        <x:f>COUNTIF('Pendientes'!$A$5:$A$100,A12)</x:f>
        <x:v>3</x:v>
      </x:c>
      <x:c r="D12" s="44" t="str">
        <x:f>IF(C12=0,"Migración cubierta","Requiere planificación")</x:f>
        <x:v>Requiere planificación</x:v>
      </x:c>
      <x:c r="E12" s="9"/>
      <x:c r="F12" s="9"/>
      <x:c r="G12" s="9"/>
      <x:c r="H12" s="9"/>
    </x:row>
    <x:row r="13">
      <x:c r="A13" s="42" t="str">
        <x:v>Comercial (EVAN)</x:v>
      </x:c>
      <x:c r="B13" s="49" t="n">
        <x:f>COUNTIF('Migrados'!$A$5:$A$100,A13)</x:f>
        <x:v>7</x:v>
      </x:c>
      <x:c r="C13" s="49" t="n">
        <x:f>COUNTIF('Pendientes'!$A$5:$A$100,A13)</x:f>
        <x:v>6</x:v>
      </x:c>
      <x:c r="D13" s="44" t="str">
        <x:f>IF(C13=0,"Migración cubierta","Requiere planificación")</x:f>
        <x:v>Requiere planificación</x:v>
      </x:c>
      <x:c r="E13" s="9"/>
      <x:c r="F13" s="9"/>
      <x:c r="G13" s="9"/>
      <x:c r="H13" s="9"/>
    </x:row>
    <x:row r="14">
      <x:c r="A14" s="42" t="str">
        <x:v>Administración (MIA)</x:v>
      </x:c>
      <x:c r="B14" s="49" t="n">
        <x:f>COUNTIF('Migrados'!$A$5:$A$100,A14)</x:f>
        <x:v>0</x:v>
      </x:c>
      <x:c r="C14" s="49" t="n">
        <x:f>COUNTIF('Pendientes'!$A$5:$A$100,A14)</x:f>
        <x:v>5</x:v>
      </x:c>
      <x:c r="D14" s="44" t="str">
        <x:f>IF(C14=0,"Migración cubierta","Requiere planificación")</x:f>
        <x:v>Requiere planificación</x:v>
      </x:c>
      <x:c r="E14" s="9"/>
      <x:c r="F14" s="9"/>
      <x:c r="G14" s="9"/>
      <x:c r="H14" s="9"/>
    </x:row>
    <x:row r="15">
      <x:c r="A15" s="42" t="str">
        <x:v>Operaciones (DANA)</x:v>
      </x:c>
      <x:c r="B15" s="49" t="n">
        <x:f>COUNTIF('Migrados'!$A$5:$A$100,A15)</x:f>
        <x:v>0</x:v>
      </x:c>
      <x:c r="C15" s="49" t="n">
        <x:f>COUNTIF('Pendientes'!$A$5:$A$100,A15)</x:f>
        <x:v>5</x:v>
      </x:c>
      <x:c r="D15" s="44" t="str">
        <x:f>IF(C15=0,"Migración cubierta","Requiere planificación")</x:f>
        <x:v>Requiere planificación</x:v>
      </x:c>
      <x:c r="E15" s="9"/>
      <x:c r="F15" s="9"/>
      <x:c r="G15" s="9"/>
      <x:c r="H15" s="9"/>
    </x:row>
    <x:row r="16">
      <x:c r="A16" s="42" t="str">
        <x:v>Legal (MAT)</x:v>
      </x:c>
      <x:c r="B16" s="49" t="n">
        <x:f>COUNTIF('Migrados'!$A$5:$A$100,A16)</x:f>
        <x:v>0</x:v>
      </x:c>
      <x:c r="C16" s="49" t="n">
        <x:f>COUNTIF('Pendientes'!$A$5:$A$100,A16)</x:f>
        <x:v>5</x:v>
      </x:c>
      <x:c r="D16" s="44" t="str">
        <x:f>IF(C16=0,"Migración cubierta","Requiere planificación")</x:f>
        <x:v>Requiere planificación</x:v>
      </x:c>
      <x:c r="E16" s="9"/>
      <x:c r="F16" s="9"/>
      <x:c r="G16" s="9"/>
      <x:c r="H16" s="9"/>
    </x:row>
    <x:row r="17">
      <x:c r="A17" s="45" t="str">
        <x:v>HelpDesk</x:v>
      </x:c>
      <x:c r="B17" s="50" t="n">
        <x:f>COUNTIF('Migrados'!$A$5:$A$100,A17)</x:f>
        <x:v>0</x:v>
      </x:c>
      <x:c r="C17" s="50" t="n">
        <x:f>COUNTIF('Pendientes'!$A$5:$A$100,A17)</x:f>
        <x:v>1</x:v>
      </x:c>
      <x:c r="D17" s="47" t="str">
        <x:f>IF(C17=0,"Migración cubierta","Requiere planificación")</x:f>
        <x:v>Requiere planificación</x:v>
      </x:c>
      <x:c r="E17" s="9"/>
      <x:c r="F17" s="9"/>
      <x:c r="G17" s="9"/>
      <x:c r="H17" s="9"/>
    </x:row>
    <x:row r="18">
      <x:c r="A18" s="9"/>
      <x:c r="B18" s="9"/>
      <x:c r="C18" s="9"/>
      <x:c r="D18" s="9"/>
      <x:c r="E18" s="9"/>
      <x:c r="F18" s="9"/>
      <x:c r="G18" s="9"/>
      <x:c r="H18" s="9"/>
    </x:row>
    <x:row r="19">
      <x:c r="A19" s="9"/>
      <x:c r="B19" s="9"/>
      <x:c r="C19" s="9"/>
      <x:c r="D19" s="9"/>
      <x:c r="E19" s="9"/>
      <x:c r="F19" s="9"/>
      <x:c r="G19" s="9"/>
      <x:c r="H19" s="9"/>
    </x:row>
    <x:row r="20">
      <x:c r="A20" s="9"/>
      <x:c r="B20" s="9"/>
      <x:c r="C20" s="9"/>
      <x:c r="D20" s="9"/>
      <x:c r="E20" s="9"/>
      <x:c r="F20" s="9"/>
      <x:c r="G20" s="9"/>
      <x:c r="H20" s="9"/>
    </x:row>
    <x:row r="21">
      <x:c r="A21" s="9"/>
      <x:c r="B21" s="9"/>
      <x:c r="C21" s="9"/>
      <x:c r="D21" s="9"/>
      <x:c r="E21" s="9"/>
      <x:c r="F21" s="9"/>
      <x:c r="G21" s="9"/>
      <x:c r="H21" s="9"/>
    </x:row>
    <x:row r="22">
      <x:c r="A22" s="9"/>
      <x:c r="B22" s="9"/>
      <x:c r="C22" s="9"/>
      <x:c r="D22" s="9"/>
      <x:c r="E22" s="9"/>
      <x:c r="F22" s="9"/>
      <x:c r="G22" s="9"/>
      <x:c r="H22" s="9"/>
    </x:row>
    <x:row r="23">
      <x:c r="A23" s="53" t="str">
        <x:v>Nota: “Migrado” significa que la pantalla y navegación existen en Vue. La disponibilidad productiva depende de que los endpoints /lecturita correspondientes estén implementados y validados en el backend. Los pendientes se presentan por bloque funcional, por lo que no son directamente equivalentes al número de pantallas migradas.</x:v>
      </x:c>
      <x:c r="B23" s="53"/>
      <x:c r="C23" s="53"/>
      <x:c r="D23" s="53"/>
      <x:c r="E23" s="53"/>
      <x:c r="F23" s="53"/>
      <x:c r="G23" s="53"/>
      <x:c r="H23" s="53"/>
    </x:row>
    <x:row r="24">
      <x:c r="A24" s="53"/>
      <x:c r="B24" s="53"/>
      <x:c r="C24" s="53"/>
      <x:c r="D24" s="53"/>
      <x:c r="E24" s="53"/>
      <x:c r="F24" s="53"/>
      <x:c r="G24" s="53"/>
      <x:c r="H24" s="53"/>
    </x:row>
  </x:sheetData>
  <x:mergeCells>
    <x:mergeCell ref="A1:H2"/>
    <x:mergeCell ref="A3:H3"/>
    <x:mergeCell ref="A5:B5"/>
    <x:mergeCell ref="D5:E5"/>
    <x:mergeCell ref="G5:H5"/>
    <x:mergeCell ref="A6:B7"/>
    <x:mergeCell ref="D6:E7"/>
    <x:mergeCell ref="G6:H7"/>
    <x:mergeCell ref="A23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5" hidden="0" customWidth="1"/>
    <x:col min="3" max="3" width="28" hidden="0" customWidth="1"/>
    <x:col min="4" max="4" width="42" hidden="0" customWidth="1"/>
    <x:col min="5" max="5" width="30" hidden="0" customWidth="1"/>
    <x:col min="6" max="6" width="40" hidden="0" customWidth="1"/>
    <x:col min="7" max="7" width="24" hidden="0" customWidth="1"/>
    <x:col min="8" max="8" width="35" hidden="0" customWidth="1"/>
  </x:cols>
  <x:sheetData>
    <x:row r="1">
      <x:c r="A1" s="7" t="str">
        <x:v>Detalle de opciones migradas</x:v>
      </x:c>
      <x:c r="B1" s="7"/>
      <x:c r="C1" s="7"/>
      <x:c r="D1" s="7"/>
      <x:c r="E1" s="7"/>
      <x:c r="F1" s="7"/>
      <x:c r="G1" s="7"/>
      <x:c r="H1" s="7"/>
    </x:row>
    <x:row r="2">
      <x:c r="A2" s="7"/>
      <x:c r="B2" s="7"/>
      <x:c r="C2" s="7"/>
      <x:c r="D2" s="7"/>
      <x:c r="E2" s="7"/>
      <x:c r="F2" s="7"/>
      <x:c r="G2" s="7"/>
      <x:c r="H2" s="7"/>
    </x:row>
    <x:row r="3">
      <x:c r="A3" s="8" t="str">
        <x:v>Pantallas presentes en la configuración y el router del frontend Vue</x:v>
      </x:c>
      <x:c r="B3" s="8"/>
      <x:c r="C3" s="8"/>
      <x:c r="D3" s="8"/>
      <x:c r="E3" s="8"/>
      <x:c r="F3" s="8"/>
      <x:c r="G3" s="8"/>
      <x:c r="H3" s="8"/>
    </x:row>
    <x:row r="4">
      <x:c r="A4" s="9" t="str">
        <x:v>Macro módulo</x:v>
      </x:c>
      <x:c r="B4" s="9" t="str">
        <x:v>Sección</x:v>
      </x:c>
      <x:c r="C4" s="9" t="str">
        <x:v>Opción / pantalla</x:v>
      </x:c>
      <x:c r="D4" s="9" t="str">
        <x:v>Ruta Vue</x:v>
      </x:c>
      <x:c r="E4" s="9" t="str">
        <x:v>Clave de página</x:v>
      </x:c>
      <x:c r="F4" s="9" t="str">
        <x:v>Controlador Laravel de referencia</x:v>
      </x:c>
      <x:c r="G4" s="9" t="str">
        <x:v>Estado</x:v>
      </x:c>
      <x:c r="H4" s="9" t="str">
        <x:v>Observación backend</x:v>
      </x:c>
    </x:row>
    <x:row r="5">
      <x:c r="A5" s="9" t="str">
        <x:v>Trámite V2</x:v>
      </x:c>
      <x:c r="B5" s="9" t="str">
        <x:v>Bandejas documentarias</x:v>
      </x:c>
      <x:c r="C5" s="9" t="str">
        <x:v>Por recepcionar</x:v>
      </x:c>
      <x:c r="D5" s="9" t="str">
        <x:v>/modulos/tramite/bandejas/por-recepcionar</x:v>
      </x:c>
      <x:c r="E5" s="9" t="str">
        <x:v>etrami-v2-por-recepcionar</x:v>
      </x:c>
      <x:c r="F5" s="9" t="str">
        <x:v>Etrami/DocumentoV2Controller</x:v>
      </x:c>
      <x:c r="G5" s="55" t="str">
        <x:v>Frontend implementado</x:v>
      </x:c>
      <x:c r="H5" s="9" t="str">
        <x:v>API /lecturita preparada o por validar</x:v>
      </x:c>
    </x:row>
    <x:row r="6">
      <x:c r="A6" s="9" t="str">
        <x:v>Trámite V2</x:v>
      </x:c>
      <x:c r="B6" s="9" t="str">
        <x:v>Bandejas documentarias</x:v>
      </x:c>
      <x:c r="C6" s="9" t="str">
        <x:v>En bandeja</x:v>
      </x:c>
      <x:c r="D6" s="9" t="str">
        <x:v>/modulos/tramite/bandejas/en-bandeja</x:v>
      </x:c>
      <x:c r="E6" s="9" t="str">
        <x:v>etrami-v2-en-bandeja</x:v>
      </x:c>
      <x:c r="F6" s="9" t="str">
        <x:v>Etrami/DocumentoV2Controller</x:v>
      </x:c>
      <x:c r="G6" s="55" t="str">
        <x:v>Frontend implementado</x:v>
      </x:c>
      <x:c r="H6" s="9" t="str">
        <x:v>API /lecturita preparada o por validar</x:v>
      </x:c>
    </x:row>
    <x:row r="7">
      <x:c r="A7" s="9" t="str">
        <x:v>Trámite V2</x:v>
      </x:c>
      <x:c r="B7" s="9" t="str">
        <x:v>Bandejas documentarias</x:v>
      </x:c>
      <x:c r="C7" s="9" t="str">
        <x:v>Pendientes</x:v>
      </x:c>
      <x:c r="D7" s="9" t="str">
        <x:v>/modulos/tramite/bandejas/pendientes</x:v>
      </x:c>
      <x:c r="E7" s="9" t="str">
        <x:v>etrami-v2-pendientes</x:v>
      </x:c>
      <x:c r="F7" s="9" t="str">
        <x:v>Etrami/DocumentoV2Controller</x:v>
      </x:c>
      <x:c r="G7" s="55" t="str">
        <x:v>Frontend implementado</x:v>
      </x:c>
      <x:c r="H7" s="9" t="str">
        <x:v>API /lecturita preparada o por validar</x:v>
      </x:c>
    </x:row>
    <x:row r="8">
      <x:c r="A8" s="9" t="str">
        <x:v>Trámite V2</x:v>
      </x:c>
      <x:c r="B8" s="9" t="str">
        <x:v>Bandejas documentarias</x:v>
      </x:c>
      <x:c r="C8" s="9" t="str">
        <x:v>Documentos propios</x:v>
      </x:c>
      <x:c r="D8" s="9" t="str">
        <x:v>/modulos/tramite/bandejas/propios</x:v>
      </x:c>
      <x:c r="E8" s="9" t="str">
        <x:v>etrami-v2-propios</x:v>
      </x:c>
      <x:c r="F8" s="9" t="str">
        <x:v>Etrami/DocumentoV2Controller</x:v>
      </x:c>
      <x:c r="G8" s="55" t="str">
        <x:v>Frontend implementado</x:v>
      </x:c>
      <x:c r="H8" s="9" t="str">
        <x:v>API /lecturita preparada o por validar</x:v>
      </x:c>
    </x:row>
    <x:row r="9">
      <x:c r="A9" s="9" t="str">
        <x:v>Trámite V2</x:v>
      </x:c>
      <x:c r="B9" s="9" t="str">
        <x:v>Bandejas documentarias</x:v>
      </x:c>
      <x:c r="C9" s="9" t="str">
        <x:v>Archivados</x:v>
      </x:c>
      <x:c r="D9" s="9" t="str">
        <x:v>/modulos/tramite/bandejas/archivados</x:v>
      </x:c>
      <x:c r="E9" s="9" t="str">
        <x:v>etrami-v2-archivados</x:v>
      </x:c>
      <x:c r="F9" s="9" t="str">
        <x:v>Etrami/DocumentoV2Controller</x:v>
      </x:c>
      <x:c r="G9" s="55" t="str">
        <x:v>Frontend implementado</x:v>
      </x:c>
      <x:c r="H9" s="9" t="str">
        <x:v>API /lecturita preparada o por validar</x:v>
      </x:c>
    </x:row>
    <x:row r="10">
      <x:c r="A10" s="9" t="str">
        <x:v>Trámite V2</x:v>
      </x:c>
      <x:c r="B10" s="9" t="str">
        <x:v>Gestión de documentos</x:v>
      </x:c>
      <x:c r="C10" s="9" t="str">
        <x:v>Registrar documento</x:v>
      </x:c>
      <x:c r="D10" s="9" t="str">
        <x:v>/modulos/tramite/documentos/registrar</x:v>
      </x:c>
      <x:c r="E10" s="9" t="str">
        <x:v>etrami-v2-registrar-documento</x:v>
      </x:c>
      <x:c r="F10" s="9" t="str">
        <x:v>Etrami/DocumentoV2Controller</x:v>
      </x:c>
      <x:c r="G10" s="55" t="str">
        <x:v>Frontend implementado</x:v>
      </x:c>
      <x:c r="H10" s="9" t="str">
        <x:v>API /lecturita preparada o por validar</x:v>
      </x:c>
    </x:row>
    <x:row r="11">
      <x:c r="A11" s="9" t="str">
        <x:v>Trámite V2</x:v>
      </x:c>
      <x:c r="B11" s="9" t="str">
        <x:v>Gestión de documentos</x:v>
      </x:c>
      <x:c r="C11" s="9" t="str">
        <x:v>Anulados / rechazados</x:v>
      </x:c>
      <x:c r="D11" s="9" t="str">
        <x:v>/modulos/tramite/documentos/anulados-rechazados</x:v>
      </x:c>
      <x:c r="E11" s="9" t="str">
        <x:v>etrami-v2-anulados-rechazados</x:v>
      </x:c>
      <x:c r="F11" s="9" t="str">
        <x:v>Etrami/DocumentoV2Controller</x:v>
      </x:c>
      <x:c r="G11" s="55" t="str">
        <x:v>Frontend implementado</x:v>
      </x:c>
      <x:c r="H11" s="9" t="str">
        <x:v>API /lecturita preparada o por validar</x:v>
      </x:c>
    </x:row>
    <x:row r="12">
      <x:c r="A12" s="9" t="str">
        <x:v>Trámite V2</x:v>
      </x:c>
      <x:c r="B12" s="9" t="str">
        <x:v>Flujo documentario</x:v>
      </x:c>
      <x:c r="C12" s="9" t="str">
        <x:v>Seguimiento de documentos</x:v>
      </x:c>
      <x:c r="D12" s="9" t="str">
        <x:v>/modulos/tramite/flujo-documentario/seguimiento</x:v>
      </x:c>
      <x:c r="E12" s="9" t="str">
        <x:v>etrami-v2-flujo-seguimiento</x:v>
      </x:c>
      <x:c r="F12" s="9" t="str">
        <x:v>Etrami/DocumentoV2Controller</x:v>
      </x:c>
      <x:c r="G12" s="55" t="str">
        <x:v>Frontend implementado</x:v>
      </x:c>
      <x:c r="H12" s="9" t="str">
        <x:v>API /lecturita preparada o por validar</x:v>
      </x:c>
    </x:row>
    <x:row r="13">
      <x:c r="A13" s="9" t="str">
        <x:v>Trámite V2</x:v>
      </x:c>
      <x:c r="B13" s="9" t="str">
        <x:v>Trámite externo</x:v>
      </x:c>
      <x:c r="C13" s="9" t="str">
        <x:v>Remitentes y documentos</x:v>
      </x:c>
      <x:c r="D13" s="9" t="str">
        <x:v>/modulos/tramite/tramite-externo/remitentes</x:v>
      </x:c>
      <x:c r="E13" s="9" t="str">
        <x:v>etrami-v2-externo-remitentes</x:v>
      </x:c>
      <x:c r="F13" s="9" t="str">
        <x:v>Etrami/RemitenteV2Controller</x:v>
      </x:c>
      <x:c r="G13" s="55" t="str">
        <x:v>Frontend implementado</x:v>
      </x:c>
      <x:c r="H13" s="9" t="str">
        <x:v>API /lecturita preparada o por validar</x:v>
      </x:c>
    </x:row>
    <x:row r="14">
      <x:c r="A14" s="9" t="str">
        <x:v>Trámite V2</x:v>
      </x:c>
      <x:c r="B14" s="9" t="str">
        <x:v>Trámite externo</x:v>
      </x:c>
      <x:c r="C14" s="9" t="str">
        <x:v>Documentos por validar</x:v>
      </x:c>
      <x:c r="D14" s="9" t="str">
        <x:v>/modulos/tramite/tramite-externo/validar</x:v>
      </x:c>
      <x:c r="E14" s="9" t="str">
        <x:v>etrami-v2-externo-validar</x:v>
      </x:c>
      <x:c r="F14" s="9" t="str">
        <x:v>Etrami/DocumentoExternoV2Controller</x:v>
      </x:c>
      <x:c r="G14" s="55" t="str">
        <x:v>Frontend implementado</x:v>
      </x:c>
      <x:c r="H14" s="9" t="str">
        <x:v>API /lecturita preparada o por validar</x:v>
      </x:c>
    </x:row>
    <x:row r="15">
      <x:c r="A15" s="9" t="str">
        <x:v>Trámite V2</x:v>
      </x:c>
      <x:c r="B15" s="9" t="str">
        <x:v>Reportes y firma</x:v>
      </x:c>
      <x:c r="C15" s="9" t="str">
        <x:v>Reporte de documentos</x:v>
      </x:c>
      <x:c r="D15" s="9" t="str">
        <x:v>/modulos/tramite/reportes-firma/reporte-documentos</x:v>
      </x:c>
      <x:c r="E15" s="9" t="str">
        <x:v>etrami-v2-reporte-documentos</x:v>
      </x:c>
      <x:c r="F15" s="9" t="str">
        <x:v>Etrami/ReporteDocumentosV2Controller</x:v>
      </x:c>
      <x:c r="G15" s="55" t="str">
        <x:v>Frontend implementado</x:v>
      </x:c>
      <x:c r="H15" s="9" t="str">
        <x:v>API /lecturita preparada o por validar</x:v>
      </x:c>
    </x:row>
    <x:row r="16">
      <x:c r="A16" s="9" t="str">
        <x:v>Trámite V2</x:v>
      </x:c>
      <x:c r="B16" s="9" t="str">
        <x:v>Reportes y firma</x:v>
      </x:c>
      <x:c r="C16" s="9" t="str">
        <x:v>Firma digital</x:v>
      </x:c>
      <x:c r="D16" s="9" t="str">
        <x:v>/modulos/tramite/reportes-firma/firma-digital</x:v>
      </x:c>
      <x:c r="E16" s="9" t="str">
        <x:v>etrami-v2-firma-digital</x:v>
      </x:c>
      <x:c r="F16" s="9" t="str">
        <x:v>Etrami/FirmaDigitalController</x:v>
      </x:c>
      <x:c r="G16" s="55" t="str">
        <x:v>Frontend implementado</x:v>
      </x:c>
      <x:c r="H16" s="9" t="str">
        <x:v>API /lecturita preparada o por validar</x:v>
      </x:c>
    </x:row>
    <x:row r="17">
      <x:c r="A17" s="9" t="str">
        <x:v>Trámite V2</x:v>
      </x:c>
      <x:c r="B17" s="9" t="str">
        <x:v>Configuración</x:v>
      </x:c>
      <x:c r="C17" s="9" t="str">
        <x:v>Tipos de documento</x:v>
      </x:c>
      <x:c r="D17" s="9" t="str">
        <x:v>/modulos/tramite/configuracion/tipos-documento</x:v>
      </x:c>
      <x:c r="E17" s="9" t="str">
        <x:v>etrami-v2-config-tipos-documento</x:v>
      </x:c>
      <x:c r="F17" s="9" t="str">
        <x:v>Etrami/TipoDocumentoController</x:v>
      </x:c>
      <x:c r="G17" s="55" t="str">
        <x:v>Frontend implementado</x:v>
      </x:c>
      <x:c r="H17" s="9" t="str">
        <x:v>API /lecturita preparada o por validar</x:v>
      </x:c>
    </x:row>
    <x:row r="18">
      <x:c r="A18" s="9" t="str">
        <x:v>Trámite V2</x:v>
      </x:c>
      <x:c r="B18" s="9" t="str">
        <x:v>Configuración</x:v>
      </x:c>
      <x:c r="C18" s="9" t="str">
        <x:v>Correlativos</x:v>
      </x:c>
      <x:c r="D18" s="9" t="str">
        <x:v>/modulos/tramite/configuracion/correlativos</x:v>
      </x:c>
      <x:c r="E18" s="9" t="str">
        <x:v>etrami-v2-config-correlativos</x:v>
      </x:c>
      <x:c r="F18" s="9" t="str">
        <x:v>Etrami/CorrelativoController</x:v>
      </x:c>
      <x:c r="G18" s="55" t="str">
        <x:v>Frontend implementado</x:v>
      </x:c>
      <x:c r="H18" s="9" t="str">
        <x:v>API /lecturita preparada o por validar</x:v>
      </x:c>
    </x:row>
    <x:row r="19">
      <x:c r="A19" s="9" t="str">
        <x:v>Institucional (AURA)</x:v>
      </x:c>
      <x:c r="B19" s="9" t="str">
        <x:v>Directorio</x:v>
      </x:c>
      <x:c r="C19" s="9" t="str">
        <x:v>Sesiones</x:v>
      </x:c>
      <x:c r="D19" s="9" t="str">
        <x:v>/modulos/institucional/directorio/sesiones</x:v>
      </x:c>
      <x:c r="E19" s="9" t="str">
        <x:v>aura-directorio-sesiones</x:v>
      </x:c>
      <x:c r="F19" s="9" t="str">
        <x:v>Aura/Directorio/SesionController</x:v>
      </x:c>
      <x:c r="G19" s="55" t="str">
        <x:v>Frontend implementado</x:v>
      </x:c>
      <x:c r="H19" s="9" t="str">
        <x:v>API /lecturita preparada o por validar</x:v>
      </x:c>
    </x:row>
    <x:row r="20">
      <x:c r="A20" s="9" t="str">
        <x:v>Institucional (AURA)</x:v>
      </x:c>
      <x:c r="B20" s="9" t="str">
        <x:v>Directorio</x:v>
      </x:c>
      <x:c r="C20" s="9" t="str">
        <x:v>Acuerdos</x:v>
      </x:c>
      <x:c r="D20" s="9" t="str">
        <x:v>/modulos/institucional/directorio/acuerdos</x:v>
      </x:c>
      <x:c r="E20" s="9" t="str">
        <x:v>aura-directorio-acuerdos</x:v>
      </x:c>
      <x:c r="F20" s="9" t="str">
        <x:v>Aura/Directorio/AccionController</x:v>
      </x:c>
      <x:c r="G20" s="55" t="str">
        <x:v>Frontend implementado</x:v>
      </x:c>
      <x:c r="H20" s="9" t="str">
        <x:v>API /lecturita preparada o por validar</x:v>
      </x:c>
    </x:row>
    <x:row r="21">
      <x:c r="A21" s="9" t="str">
        <x:v>Institucional (AURA)</x:v>
      </x:c>
      <x:c r="B21" s="9" t="str">
        <x:v>Directorio</x:v>
      </x:c>
      <x:c r="C21" s="9" t="str">
        <x:v>Disposiciones</x:v>
      </x:c>
      <x:c r="D21" s="9" t="str">
        <x:v>/modulos/institucional/directorio/disposiciones</x:v>
      </x:c>
      <x:c r="E21" s="9" t="str">
        <x:v>aura-directorio-disposiciones</x:v>
      </x:c>
      <x:c r="F21" s="9" t="str">
        <x:v>Aura/Directorio/AccionController</x:v>
      </x:c>
      <x:c r="G21" s="55" t="str">
        <x:v>Frontend implementado</x:v>
      </x:c>
      <x:c r="H21" s="9" t="str">
        <x:v>API /lecturita preparada o por validar</x:v>
      </x:c>
    </x:row>
    <x:row r="22">
      <x:c r="A22" s="9" t="str">
        <x:v>Institucional (AURA)</x:v>
      </x:c>
      <x:c r="B22" s="9" t="str">
        <x:v>Directorio</x:v>
      </x:c>
      <x:c r="C22" s="9" t="str">
        <x:v>Pedidos</x:v>
      </x:c>
      <x:c r="D22" s="9" t="str">
        <x:v>/modulos/institucional/directorio/pedidos</x:v>
      </x:c>
      <x:c r="E22" s="9" t="str">
        <x:v>aura-directorio-pedidos</x:v>
      </x:c>
      <x:c r="F22" s="9" t="str">
        <x:v>Aura/Directorio/PedidoController</x:v>
      </x:c>
      <x:c r="G22" s="55" t="str">
        <x:v>Frontend implementado</x:v>
      </x:c>
      <x:c r="H22" s="9" t="str">
        <x:v>API /lecturita preparada o por validar</x:v>
      </x:c>
    </x:row>
    <x:row r="23">
      <x:c r="A23" s="9" t="str">
        <x:v>Institucional (AURA)</x:v>
      </x:c>
      <x:c r="B23" s="9" t="str">
        <x:v>Buen Gobierno Corporativo</x:v>
      </x:c>
      <x:c r="C23" s="9" t="str">
        <x:v>Estructura BGC</x:v>
      </x:c>
      <x:c r="D23" s="9" t="str">
        <x:v>/modulos/institucional/buen-gobierno/estructura</x:v>
      </x:c>
      <x:c r="E23" s="9" t="str">
        <x:v>aura-bgc-estructura</x:v>
      </x:c>
      <x:c r="F23" s="9" t="str">
        <x:v>Aura/BuenGobiernoCorporativo</x:v>
      </x:c>
      <x:c r="G23" s="55" t="str">
        <x:v>Frontend implementado</x:v>
      </x:c>
      <x:c r="H23" s="9" t="str">
        <x:v>API /lecturita preparada o por validar</x:v>
      </x:c>
    </x:row>
    <x:row r="24">
      <x:c r="A24" s="9" t="str">
        <x:v>Institucional (AURA)</x:v>
      </x:c>
      <x:c r="B24" s="9" t="str">
        <x:v>Buen Gobierno Corporativo</x:v>
      </x:c>
      <x:c r="C24" s="9" t="str">
        <x:v>Procesos y evidencias</x:v>
      </x:c>
      <x:c r="D24" s="9" t="str">
        <x:v>/modulos/institucional/buen-gobierno/procesos-evidencias</x:v>
      </x:c>
      <x:c r="E24" s="9" t="str">
        <x:v>aura-bgc-procesos</x:v>
      </x:c>
      <x:c r="F24" s="9" t="str">
        <x:v>Aura/BuenGobiernoCorporativo/ProcesoController</x:v>
      </x:c>
      <x:c r="G24" s="55" t="str">
        <x:v>Frontend implementado</x:v>
      </x:c>
      <x:c r="H24" s="9" t="str">
        <x:v>API /lecturita preparada o por validar</x:v>
      </x:c>
    </x:row>
    <x:row r="25">
      <x:c r="A25" s="9" t="str">
        <x:v>Institucional (AURA)</x:v>
      </x:c>
      <x:c r="B25" s="9" t="str">
        <x:v>Buen Gobierno Corporativo</x:v>
      </x:c>
      <x:c r="C25" s="9" t="str">
        <x:v>Control de avance</x:v>
      </x:c>
      <x:c r="D25" s="9" t="str">
        <x:v>/modulos/institucional/buen-gobierno/control-avance</x:v>
      </x:c>
      <x:c r="E25" s="9" t="str">
        <x:v>aura-bgc-control-avance</x:v>
      </x:c>
      <x:c r="F25" s="9" t="str">
        <x:v>Aura/BuenGobiernoCorporativo/ControlAvanceController</x:v>
      </x:c>
      <x:c r="G25" s="55" t="str">
        <x:v>Frontend implementado</x:v>
      </x:c>
      <x:c r="H25" s="9" t="str">
        <x:v>API /lecturita preparada o por validar</x:v>
      </x:c>
    </x:row>
    <x:row r="26">
      <x:c r="A26" s="9" t="str">
        <x:v>Comercial (EVAN)</x:v>
      </x:c>
      <x:c r="B26" s="9" t="str">
        <x:v>Catastro Comercial</x:v>
      </x:c>
      <x:c r="C26" s="9" t="str">
        <x:v>Conexiones</x:v>
      </x:c>
      <x:c r="D26" s="9" t="str">
        <x:v>/modulos/comercial/catastro/conexiones</x:v>
      </x:c>
      <x:c r="E26" s="9" t="str">
        <x:v>evan-catastro-conexiones</x:v>
      </x:c>
      <x:c r="F26" s="9" t="str">
        <x:v>Evan/Catastro/ConexionController</x:v>
      </x:c>
      <x:c r="G26" s="55" t="str">
        <x:v>Frontend implementado</x:v>
      </x:c>
      <x:c r="H26" s="9" t="str">
        <x:v>API /lecturita preparada o por validar</x:v>
      </x:c>
    </x:row>
    <x:row r="27">
      <x:c r="A27" s="9" t="str">
        <x:v>Comercial (EVAN)</x:v>
      </x:c>
      <x:c r="B27" s="9" t="str">
        <x:v>Catastro Comercial</x:v>
      </x:c>
      <x:c r="C27" s="9" t="str">
        <x:v>Sectores</x:v>
      </x:c>
      <x:c r="D27" s="9" t="str">
        <x:v>/modulos/comercial/catastro/sectores</x:v>
      </x:c>
      <x:c r="E27" s="9" t="str">
        <x:v>evan-catastro-sectores</x:v>
      </x:c>
      <x:c r="F27" s="9" t="str">
        <x:v>Evan/Catastro/SectorController</x:v>
      </x:c>
      <x:c r="G27" s="55" t="str">
        <x:v>Frontend implementado</x:v>
      </x:c>
      <x:c r="H27" s="9" t="str">
        <x:v>API /lecturita preparada o por validar</x:v>
      </x:c>
    </x:row>
    <x:row r="28">
      <x:c r="A28" s="9" t="str">
        <x:v>Comercial (EVAN)</x:v>
      </x:c>
      <x:c r="B28" s="9" t="str">
        <x:v>Catastro Comercial</x:v>
      </x:c>
      <x:c r="C28" s="9" t="str">
        <x:v>Urbanizaciones</x:v>
      </x:c>
      <x:c r="D28" s="9" t="str">
        <x:v>/modulos/comercial/catastro/urbanizaciones</x:v>
      </x:c>
      <x:c r="E28" s="9" t="str">
        <x:v>evan-catastro-urbanizaciones</x:v>
      </x:c>
      <x:c r="F28" s="9" t="str">
        <x:v>Evan/Catastro/UrbanizacionController</x:v>
      </x:c>
      <x:c r="G28" s="55" t="str">
        <x:v>Frontend implementado</x:v>
      </x:c>
      <x:c r="H28" s="9" t="str">
        <x:v>API /lecturita preparada o por validar</x:v>
      </x:c>
    </x:row>
    <x:row r="29">
      <x:c r="A29" s="9" t="str">
        <x:v>Comercial (EVAN)</x:v>
      </x:c>
      <x:c r="B29" s="9" t="str">
        <x:v>Catastro Comercial</x:v>
      </x:c>
      <x:c r="C29" s="9" t="str">
        <x:v>Calles</x:v>
      </x:c>
      <x:c r="D29" s="9" t="str">
        <x:v>/modulos/comercial/catastro/calles</x:v>
      </x:c>
      <x:c r="E29" s="9" t="str">
        <x:v>evan-catastro-calles</x:v>
      </x:c>
      <x:c r="F29" s="9" t="str">
        <x:v>Evan/Catastro/CalleController</x:v>
      </x:c>
      <x:c r="G29" s="55" t="str">
        <x:v>Frontend implementado</x:v>
      </x:c>
      <x:c r="H29" s="9" t="str">
        <x:v>API /lecturita preparada o por validar</x:v>
      </x:c>
    </x:row>
    <x:row r="30">
      <x:c r="A30" s="9" t="str">
        <x:v>Comercial (EVAN)</x:v>
      </x:c>
      <x:c r="B30" s="9" t="str">
        <x:v>Catastro Comercial</x:v>
      </x:c>
      <x:c r="C30" s="9" t="str">
        <x:v>Centros poblados</x:v>
      </x:c>
      <x:c r="D30" s="9" t="str">
        <x:v>/modulos/comercial/catastro/centros-poblados</x:v>
      </x:c>
      <x:c r="E30" s="9" t="str">
        <x:v>evan-catastro-centros-poblados</x:v>
      </x:c>
      <x:c r="F30" s="9" t="str">
        <x:v>Evan/Catastro/CentroPobladoController</x:v>
      </x:c>
      <x:c r="G30" s="55" t="str">
        <x:v>Frontend implementado</x:v>
      </x:c>
      <x:c r="H30" s="9" t="str">
        <x:v>API /lecturita preparada o por validar</x:v>
      </x:c>
    </x:row>
    <x:row r="31">
      <x:c r="A31" s="9" t="str">
        <x:v>Comercial (EVAN)</x:v>
      </x:c>
      <x:c r="B31" s="9" t="str">
        <x:v>Comercialización</x:v>
      </x:c>
      <x:c r="C31" s="9" t="str">
        <x:v>Expedientes de atención</x:v>
      </x:c>
      <x:c r="D31" s="9" t="str">
        <x:v>/modulos/comercial/comercializacion/expedientes</x:v>
      </x:c>
      <x:c r="E31" s="9" t="str">
        <x:v>evan-atencion-expedientes</x:v>
      </x:c>
      <x:c r="F31" s="9" t="str">
        <x:v>Evan/Comercializacion/ExpedienteController</x:v>
      </x:c>
      <x:c r="G31" s="55" t="str">
        <x:v>Frontend implementado</x:v>
      </x:c>
      <x:c r="H31" s="9" t="str">
        <x:v>API /lecturita preparada o por validar</x:v>
      </x:c>
    </x:row>
    <x:row r="32">
      <x:c r="A32" s="9" t="str">
        <x:v>Comercial (EVAN)</x:v>
      </x:c>
      <x:c r="B32" s="9" t="str">
        <x:v>Medición</x:v>
      </x:c>
      <x:c r="C32" s="9" t="str">
        <x:v>Medidores</x:v>
      </x:c>
      <x:c r="D32" s="9" t="str">
        <x:v>/modulos/comercial/medicion/medidores</x:v>
      </x:c>
      <x:c r="E32" s="9" t="str">
        <x:v>evan-medicion-medidores</x:v>
      </x:c>
      <x:c r="F32" s="9" t="str">
        <x:v>Evan/Medicion/MedidorController</x:v>
      </x:c>
      <x:c r="G32" s="55" t="str">
        <x:v>Frontend implementado</x:v>
      </x:c>
      <x:c r="H32" s="9" t="str">
        <x:v>API /lecturita preparada o por validar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ebbeba95a9174a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46" hidden="0" customWidth="1"/>
    <x:col min="4" max="4" width="40" hidden="0" customWidth="1"/>
    <x:col min="5" max="5" width="17" hidden="0" customWidth="1"/>
    <x:col min="6" max="6" width="35" hidden="0" customWidth="1"/>
    <x:col min="7" max="7" width="18" hidden="0" customWidth="1"/>
  </x:cols>
  <x:sheetData>
    <x:row r="1">
      <x:c r="A1" s="7" t="str">
        <x:v>Módulos y bloques pendientes</x:v>
      </x:c>
      <x:c r="B1" s="7"/>
      <x:c r="C1" s="7"/>
      <x:c r="D1" s="7"/>
      <x:c r="E1" s="7"/>
      <x:c r="F1" s="7"/>
      <x:c r="G1" s="7"/>
    </x:row>
    <x:row r="2">
      <x:c r="A2" s="7"/>
      <x:c r="B2" s="7"/>
      <x:c r="C2" s="7"/>
      <x:c r="D2" s="7"/>
      <x:c r="E2" s="7"/>
      <x:c r="F2" s="7"/>
      <x:c r="G2" s="7"/>
    </x:row>
    <x:row r="3">
      <x:c r="A3" s="8" t="str">
        <x:v>Backlog preliminar para levantamiento funcional, diseño Vue e integración API</x:v>
      </x:c>
      <x:c r="B3" s="8"/>
      <x:c r="C3" s="8"/>
      <x:c r="D3" s="8"/>
      <x:c r="E3" s="8"/>
      <x:c r="F3" s="8"/>
      <x:c r="G3" s="8"/>
    </x:row>
    <x:row r="4">
      <x:c r="A4" s="9" t="str">
        <x:v>Macro módulo</x:v>
      </x:c>
      <x:c r="B4" s="9" t="str">
        <x:v>Sección / bloque</x:v>
      </x:c>
      <x:c r="C4" s="9" t="str">
        <x:v>Alcance funcional</x:v>
      </x:c>
      <x:c r="D4" s="9" t="str">
        <x:v>Controlador Laravel de referencia</x:v>
      </x:c>
      <x:c r="E4" s="9" t="str">
        <x:v>Prioridad sugerida</x:v>
      </x:c>
      <x:c r="F4" s="9" t="str">
        <x:v>Siguiente paso</x:v>
      </x:c>
      <x:c r="G4" s="9" t="str">
        <x:v>Estado</x:v>
      </x:c>
    </x:row>
    <x:row r="5">
      <x:c r="A5" s="9" t="str">
        <x:v>Institucional (AURA)</x:v>
      </x:c>
      <x:c r="B5" s="9" t="str">
        <x:v>Gestión de Comités</x:v>
      </x:c>
      <x:c r="C5" s="9" t="str">
        <x:v>Comités, reuniones y acuerdos</x:v>
      </x:c>
      <x:c r="D5" s="9" t="str">
        <x:v>Aura/GestionComite</x:v>
      </x:c>
      <x:c r="E5" s="9" t="str">
        <x:v>Alta</x:v>
      </x:c>
      <x:c r="F5" s="9" t="str">
        <x:v>Nuevo desarrollo Vue</x:v>
      </x:c>
      <x:c r="G5" s="9" t="str">
        <x:v>Pendiente</x:v>
      </x:c>
    </x:row>
    <x:row r="6">
      <x:c r="A6" s="9" t="str">
        <x:v>Institucional (AURA)</x:v>
      </x:c>
      <x:c r="B6" s="9" t="str">
        <x:v>Comunicaciones</x:v>
      </x:c>
      <x:c r="C6" s="9" t="str">
        <x:v>Noticias, publicaciones y stakeholders</x:v>
      </x:c>
      <x:c r="D6" s="9" t="str">
        <x:v>Aura/Comunicaciones</x:v>
      </x:c>
      <x:c r="E6" s="9" t="str">
        <x:v>Media</x:v>
      </x:c>
      <x:c r="F6" s="9" t="str">
        <x:v>Nuevo desarrollo Vue</x:v>
      </x:c>
      <x:c r="G6" s="9" t="str">
        <x:v>Pendiente</x:v>
      </x:c>
    </x:row>
    <x:row r="7">
      <x:c r="A7" s="9" t="str">
        <x:v>Institucional (AURA)</x:v>
      </x:c>
      <x:c r="B7" s="9" t="str">
        <x:v>Integridad</x:v>
      </x:c>
      <x:c r="C7" s="9" t="str">
        <x:v>Denuncias e incidencias</x:v>
      </x:c>
      <x:c r="D7" s="9" t="str">
        <x:v>Aura/Integridad</x:v>
      </x:c>
      <x:c r="E7" s="9" t="str">
        <x:v>Alta</x:v>
      </x:c>
      <x:c r="F7" s="9" t="str">
        <x:v>Nuevo desarrollo Vue</x:v>
      </x:c>
      <x:c r="G7" s="9" t="str">
        <x:v>Pendiente</x:v>
      </x:c>
    </x:row>
    <x:row r="8">
      <x:c r="A8" s="9" t="str">
        <x:v>Comercial (EVAN)</x:v>
      </x:c>
      <x:c r="B8" s="9" t="str">
        <x:v>Comercialización</x:v>
      </x:c>
      <x:c r="C8" s="9" t="str">
        <x:v>Cálculo de atención al cliente</x:v>
      </x:c>
      <x:c r="D8" s="9" t="str">
        <x:v>Evan/Comercializacion</x:v>
      </x:c>
      <x:c r="E8" s="9" t="str">
        <x:v>Alta</x:v>
      </x:c>
      <x:c r="F8" s="9" t="str">
        <x:v>Revisado: requiere definir integración/API</x:v>
      </x:c>
      <x:c r="G8" s="9" t="str">
        <x:v>Pendiente</x:v>
      </x:c>
    </x:row>
    <x:row r="9">
      <x:c r="A9" s="9" t="str">
        <x:v>Comercial (EVAN)</x:v>
      </x:c>
      <x:c r="B9" s="9" t="str">
        <x:v>Comercialización</x:v>
      </x:c>
      <x:c r="C9" s="9" t="str">
        <x:v>Atenciones, solicitudes, tickets y trabajos restantes</x:v>
      </x:c>
      <x:c r="D9" s="9" t="str">
        <x:v>Evan/Comercializacion</x:v>
      </x:c>
      <x:c r="E9" s="9" t="str">
        <x:v>Alta</x:v>
      </x:c>
      <x:c r="F9" s="9" t="str">
        <x:v>Completar opciones del bloque</x:v>
      </x:c>
      <x:c r="G9" s="9" t="str">
        <x:v>Pendiente</x:v>
      </x:c>
    </x:row>
    <x:row r="10">
      <x:c r="A10" s="9" t="str">
        <x:v>Comercial (EVAN)</x:v>
      </x:c>
      <x:c r="B10" s="9" t="str">
        <x:v>Medición</x:v>
      </x:c>
      <x:c r="C10" s="9" t="str">
        <x:v>Lecturas, padrones y críticas</x:v>
      </x:c>
      <x:c r="D10" s="9" t="str">
        <x:v>Evan/Medicion</x:v>
      </x:c>
      <x:c r="E10" s="9" t="str">
        <x:v>Alta</x:v>
      </x:c>
      <x:c r="F10" s="9" t="str">
        <x:v>Completar opciones del bloque</x:v>
      </x:c>
      <x:c r="G10" s="9" t="str">
        <x:v>Pendiente</x:v>
      </x:c>
    </x:row>
    <x:row r="11">
      <x:c r="A11" s="9" t="str">
        <x:v>Comercial (EVAN)</x:v>
      </x:c>
      <x:c r="B11" s="9" t="str">
        <x:v>Facturación</x:v>
      </x:c>
      <x:c r="C11" s="9" t="str">
        <x:v>Ciclos y procesos de facturación</x:v>
      </x:c>
      <x:c r="D11" s="9" t="str">
        <x:v>Evan/Facturacion</x:v>
      </x:c>
      <x:c r="E11" s="9" t="str">
        <x:v>Alta</x:v>
      </x:c>
      <x:c r="F11" s="9" t="str">
        <x:v>Nuevo desarrollo Vue</x:v>
      </x:c>
      <x:c r="G11" s="9" t="str">
        <x:v>Pendiente</x:v>
      </x:c>
    </x:row>
    <x:row r="12">
      <x:c r="A12" s="9" t="str">
        <x:v>Comercial (EVAN)</x:v>
      </x:c>
      <x:c r="B12" s="9" t="str">
        <x:v>Cobranza</x:v>
      </x:c>
      <x:c r="C12" s="9" t="str">
        <x:v>Deudas, pagos y verificación de cortes</x:v>
      </x:c>
      <x:c r="D12" s="9" t="str">
        <x:v>Evan/Cobranza</x:v>
      </x:c>
      <x:c r="E12" s="9" t="str">
        <x:v>Alta</x:v>
      </x:c>
      <x:c r="F12" s="9" t="str">
        <x:v>Nuevo desarrollo Vue</x:v>
      </x:c>
      <x:c r="G12" s="9" t="str">
        <x:v>Pendiente</x:v>
      </x:c>
    </x:row>
    <x:row r="13">
      <x:c r="A13" s="9" t="str">
        <x:v>Comercial (EVAN)</x:v>
      </x:c>
      <x:c r="B13" s="9" t="str">
        <x:v>SICI</x:v>
      </x:c>
      <x:c r="C13" s="9" t="str">
        <x:v>Personas y conexiones</x:v>
      </x:c>
      <x:c r="D13" s="9" t="str">
        <x:v>Evan/Sici</x:v>
      </x:c>
      <x:c r="E13" s="9" t="str">
        <x:v>Media</x:v>
      </x:c>
      <x:c r="F13" s="9" t="str">
        <x:v>Nuevo desarrollo Vue</x:v>
      </x:c>
      <x:c r="G13" s="9" t="str">
        <x:v>Pendiente</x:v>
      </x:c>
    </x:row>
    <x:row r="14">
      <x:c r="A14" s="9" t="str">
        <x:v>Administración (MIA)</x:v>
      </x:c>
      <x:c r="B14" s="9" t="str">
        <x:v>Logística</x:v>
      </x:c>
      <x:c r="C14" s="9" t="str">
        <x:v>Pedidos, procesos, órdenes y proveedores</x:v>
      </x:c>
      <x:c r="D14" s="9" t="str">
        <x:v>Mia/Logistica</x:v>
      </x:c>
      <x:c r="E14" s="9" t="str">
        <x:v>Alta</x:v>
      </x:c>
      <x:c r="F14" s="9" t="str">
        <x:v>Nuevo módulo Vue</x:v>
      </x:c>
      <x:c r="G14" s="9" t="str">
        <x:v>Pendiente</x:v>
      </x:c>
    </x:row>
    <x:row r="15">
      <x:c r="A15" s="9" t="str">
        <x:v>Administración (MIA)</x:v>
      </x:c>
      <x:c r="B15" s="9" t="str">
        <x:v>Almacén</x:v>
      </x:c>
      <x:c r="C15" s="9" t="str">
        <x:v>Ingresos, salidas, stock y movimientos</x:v>
      </x:c>
      <x:c r="D15" s="9" t="str">
        <x:v>Mia/Logistica/AlmacenController</x:v>
      </x:c>
      <x:c r="E15" s="9" t="str">
        <x:v>Alta</x:v>
      </x:c>
      <x:c r="F15" s="9" t="str">
        <x:v>Nuevo módulo Vue</x:v>
      </x:c>
      <x:c r="G15" s="9" t="str">
        <x:v>Pendiente</x:v>
      </x:c>
    </x:row>
    <x:row r="16">
      <x:c r="A16" s="9" t="str">
        <x:v>Administración (MIA)</x:v>
      </x:c>
      <x:c r="B16" s="9" t="str">
        <x:v>Presupuesto</x:v>
      </x:c>
      <x:c r="C16" s="9" t="str">
        <x:v>Formulación presupuestal</x:v>
      </x:c>
      <x:c r="D16" s="9" t="str">
        <x:v>Mia/Presupuesto</x:v>
      </x:c>
      <x:c r="E16" s="9" t="str">
        <x:v>Media</x:v>
      </x:c>
      <x:c r="F16" s="9" t="str">
        <x:v>Nuevo módulo Vue</x:v>
      </x:c>
      <x:c r="G16" s="9" t="str">
        <x:v>Pendiente</x:v>
      </x:c>
    </x:row>
    <x:row r="17">
      <x:c r="A17" s="9" t="str">
        <x:v>Administración (MIA)</x:v>
      </x:c>
      <x:c r="B17" s="9" t="str">
        <x:v>Recursos Humanos</x:v>
      </x:c>
      <x:c r="C17" s="9" t="str">
        <x:v>Productividad y personal</x:v>
      </x:c>
      <x:c r="D17" s="9" t="str">
        <x:v>Mia/Recursos</x:v>
      </x:c>
      <x:c r="E17" s="9" t="str">
        <x:v>Media</x:v>
      </x:c>
      <x:c r="F17" s="9" t="str">
        <x:v>Nuevo módulo Vue</x:v>
      </x:c>
      <x:c r="G17" s="9" t="str">
        <x:v>Pendiente</x:v>
      </x:c>
    </x:row>
    <x:row r="18">
      <x:c r="A18" s="9" t="str">
        <x:v>Administración (MIA)</x:v>
      </x:c>
      <x:c r="B18" s="9" t="str">
        <x:v>Utilitarios</x:v>
      </x:c>
      <x:c r="C18" s="9" t="str">
        <x:v>Herramientas administrativas</x:v>
      </x:c>
      <x:c r="D18" s="9" t="str">
        <x:v>Mia/Utilitario</x:v>
      </x:c>
      <x:c r="E18" s="9" t="str">
        <x:v>Baja</x:v>
      </x:c>
      <x:c r="F18" s="9" t="str">
        <x:v>Nuevo módulo Vue</x:v>
      </x:c>
      <x:c r="G18" s="9" t="str">
        <x:v>Pendiente</x:v>
      </x:c>
    </x:row>
    <x:row r="19">
      <x:c r="A19" s="9" t="str">
        <x:v>Operaciones (DANA)</x:v>
      </x:c>
      <x:c r="B19" s="9" t="str">
        <x:v>Sistemas y componentes</x:v>
      </x:c>
      <x:c r="C19" s="9" t="str">
        <x:v>Sistemas, componentes, planos e interrupciones</x:v>
      </x:c>
      <x:c r="D19" s="9" t="str">
        <x:v>Dana</x:v>
      </x:c>
      <x:c r="E19" s="9" t="str">
        <x:v>Alta</x:v>
      </x:c>
      <x:c r="F19" s="9" t="str">
        <x:v>Nuevo módulo Vue</x:v>
      </x:c>
      <x:c r="G19" s="9" t="str">
        <x:v>Pendiente</x:v>
      </x:c>
    </x:row>
    <x:row r="20">
      <x:c r="A20" s="9" t="str">
        <x:v>Operaciones (DANA)</x:v>
      </x:c>
      <x:c r="B20" s="9" t="str">
        <x:v>Catastro Técnico</x:v>
      </x:c>
      <x:c r="C20" s="9" t="str">
        <x:v>Clasificación de componentes</x:v>
      </x:c>
      <x:c r="D20" s="9" t="str">
        <x:v>Dana/CatastroTecnico</x:v>
      </x:c>
      <x:c r="E20" s="9" t="str">
        <x:v>Alta</x:v>
      </x:c>
      <x:c r="F20" s="9" t="str">
        <x:v>Nuevo módulo Vue</x:v>
      </x:c>
      <x:c r="G20" s="9" t="str">
        <x:v>Pendiente</x:v>
      </x:c>
    </x:row>
    <x:row r="21">
      <x:c r="A21" s="9" t="str">
        <x:v>Operaciones (DANA)</x:v>
      </x:c>
      <x:c r="B21" s="9" t="str">
        <x:v>Control de Calidad</x:v>
      </x:c>
      <x:c r="C21" s="9" t="str">
        <x:v>Muestras, parámetros y resultados</x:v>
      </x:c>
      <x:c r="D21" s="9" t="str">
        <x:v>Dana/ControlCalidad</x:v>
      </x:c>
      <x:c r="E21" s="9" t="str">
        <x:v>Media</x:v>
      </x:c>
      <x:c r="F21" s="9" t="str">
        <x:v>Nuevo módulo Vue</x:v>
      </x:c>
      <x:c r="G21" s="9" t="str">
        <x:v>Pendiente</x:v>
      </x:c>
    </x:row>
    <x:row r="22">
      <x:c r="A22" s="9" t="str">
        <x:v>Operaciones (DANA)</x:v>
      </x:c>
      <x:c r="B22" s="9" t="str">
        <x:v>Gestión de Cisternas</x:v>
      </x:c>
      <x:c r="C22" s="9" t="str">
        <x:v>Programación, abastecimiento y rastreo</x:v>
      </x:c>
      <x:c r="D22" s="9" t="str">
        <x:v>Dana/GestionCisternas</x:v>
      </x:c>
      <x:c r="E22" s="9" t="str">
        <x:v>Media</x:v>
      </x:c>
      <x:c r="F22" s="9" t="str">
        <x:v>Nuevo módulo Vue</x:v>
      </x:c>
      <x:c r="G22" s="9" t="str">
        <x:v>Pendiente</x:v>
      </x:c>
    </x:row>
    <x:row r="23">
      <x:c r="A23" s="9" t="str">
        <x:v>Operaciones (DANA)</x:v>
      </x:c>
      <x:c r="B23" s="9" t="str">
        <x:v>Producción</x:v>
      </x:c>
      <x:c r="C23" s="9" t="str">
        <x:v>Macromedidores y lecturas</x:v>
      </x:c>
      <x:c r="D23" s="9" t="str">
        <x:v>Dana/Produccion</x:v>
      </x:c>
      <x:c r="E23" s="9" t="str">
        <x:v>Alta</x:v>
      </x:c>
      <x:c r="F23" s="9" t="str">
        <x:v>Nuevo módulo Vue</x:v>
      </x:c>
      <x:c r="G23" s="9" t="str">
        <x:v>Pendiente</x:v>
      </x:c>
    </x:row>
    <x:row r="24">
      <x:c r="A24" s="9" t="str">
        <x:v>Legal (MAT)</x:v>
      </x:c>
      <x:c r="B24" s="9" t="str">
        <x:v>Expedientes</x:v>
      </x:c>
      <x:c r="C24" s="9" t="str">
        <x:v>Expedientes, partes y adjuntos</x:v>
      </x:c>
      <x:c r="D24" s="9" t="str">
        <x:v>Mat/Expedientes</x:v>
      </x:c>
      <x:c r="E24" s="9" t="str">
        <x:v>Alta</x:v>
      </x:c>
      <x:c r="F24" s="9" t="str">
        <x:v>Nuevo módulo Vue</x:v>
      </x:c>
      <x:c r="G24" s="9" t="str">
        <x:v>Pendiente</x:v>
      </x:c>
    </x:row>
    <x:row r="25">
      <x:c r="A25" s="9" t="str">
        <x:v>Legal (MAT)</x:v>
      </x:c>
      <x:c r="B25" s="9" t="str">
        <x:v>PAD</x:v>
      </x:c>
      <x:c r="C25" s="9" t="str">
        <x:v>Procesos disciplinarios y precalificación</x:v>
      </x:c>
      <x:c r="D25" s="9" t="str">
        <x:v>Mat/Pad</x:v>
      </x:c>
      <x:c r="E25" s="9" t="str">
        <x:v>Media</x:v>
      </x:c>
      <x:c r="F25" s="9" t="str">
        <x:v>Nuevo módulo Vue</x:v>
      </x:c>
      <x:c r="G25" s="9" t="str">
        <x:v>Pendiente</x:v>
      </x:c>
    </x:row>
    <x:row r="26">
      <x:c r="A26" s="9" t="str">
        <x:v>Legal (MAT)</x:v>
      </x:c>
      <x:c r="B26" s="9" t="str">
        <x:v>PAS</x:v>
      </x:c>
      <x:c r="C26" s="9" t="str">
        <x:v>Fiscalización y medidas correctivas</x:v>
      </x:c>
      <x:c r="D26" s="9" t="str">
        <x:v>Mat/Pas</x:v>
      </x:c>
      <x:c r="E26" s="9" t="str">
        <x:v>Media</x:v>
      </x:c>
      <x:c r="F26" s="9" t="str">
        <x:v>Nuevo módulo Vue</x:v>
      </x:c>
      <x:c r="G26" s="9" t="str">
        <x:v>Pendiente</x:v>
      </x:c>
    </x:row>
    <x:row r="27">
      <x:c r="A27" s="9" t="str">
        <x:v>Legal (MAT)</x:v>
      </x:c>
      <x:c r="B27" s="9" t="str">
        <x:v>Convenios</x:v>
      </x:c>
      <x:c r="C27" s="9" t="str">
        <x:v>Convenios, contrapartes y archivos</x:v>
      </x:c>
      <x:c r="D27" s="9" t="str">
        <x:v>Mat/Convenio</x:v>
      </x:c>
      <x:c r="E27" s="9" t="str">
        <x:v>Media</x:v>
      </x:c>
      <x:c r="F27" s="9" t="str">
        <x:v>Nuevo módulo Vue</x:v>
      </x:c>
      <x:c r="G27" s="9" t="str">
        <x:v>Pendiente</x:v>
      </x:c>
    </x:row>
    <x:row r="28">
      <x:c r="A28" s="9" t="str">
        <x:v>Legal (MAT)</x:v>
      </x:c>
      <x:c r="B28" s="9" t="str">
        <x:v>Documentos Normativos</x:v>
      </x:c>
      <x:c r="C28" s="9" t="str">
        <x:v>Normas, tipos y relaciones</x:v>
      </x:c>
      <x:c r="D28" s="9" t="str">
        <x:v>Mat/DocumentoNormativo</x:v>
      </x:c>
      <x:c r="E28" s="9" t="str">
        <x:v>Media</x:v>
      </x:c>
      <x:c r="F28" s="9" t="str">
        <x:v>Nuevo módulo Vue</x:v>
      </x:c>
      <x:c r="G28" s="9" t="str">
        <x:v>Pendiente</x:v>
      </x:c>
    </x:row>
    <x:row r="29">
      <x:c r="A29" s="9" t="str">
        <x:v>HelpDesk</x:v>
      </x:c>
      <x:c r="B29" s="9" t="str">
        <x:v>Requerimientos</x:v>
      </x:c>
      <x:c r="C29" s="9" t="str">
        <x:v>Registro y seguimiento de soporte</x:v>
      </x:c>
      <x:c r="D29" s="9" t="str">
        <x:v>HelpDesk/RequerimientoController</x:v>
      </x:c>
      <x:c r="E29" s="9" t="str">
        <x:v>Alta</x:v>
      </x:c>
      <x:c r="F29" s="9" t="str">
        <x:v>Nuevo módulo Vue</x:v>
      </x:c>
      <x:c r="G29" s="9" t="str">
        <x:v>Pendiente</x:v>
      </x:c>
    </x:row>
  </x:sheetData>
  <x:mergeCells>
    <x:mergeCell ref="A1:G2"/>
    <x:mergeCell ref="A3:G3"/>
  </x:mergeCells>
  <x:conditionalFormatting sqref="E5:E29">
    <x:cfRule type="containsText" dxfId="0" priority="1" operator="containsText" text="Alta"/>
    <x:cfRule type="containsText" dxfId="1" priority="2" operator="containsText" text="Media"/>
  </x:conditionalFormatting>
  <x:conditionalFormatting sqref="G5:G29">
    <x:cfRule type="containsText" dxfId="2" priority="3" operator="containsText" text="Completado"/>
  </x:conditionalFormatting>
  <x:dataValidations count="2">
    <x:dataValidation type="list" sqref="E5:E29">
      <x:formula1>"Alta,Media,Baja,Por definir"</x:formula1>
    </x:dataValidation>
    <x:dataValidation type="list" sqref="G5:G29">
      <x:formula1>"Pendiente,En análisis,En desarrollo,Completado"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d4bdf7031b434b"/>
  </x:tableParts>
</x:worksheet>
</file>